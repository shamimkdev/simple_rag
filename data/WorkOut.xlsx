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D:\MyDocument\WorkOut\"/>
    </mc:Choice>
  </mc:AlternateContent>
  <xr:revisionPtr revIDLastSave="0" documentId="13_ncr:1_{73D604E4-32CE-4B4C-813E-B230F0E84323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Notes" sheetId="3" r:id="rId1"/>
    <sheet name="Schedule" sheetId="1" r:id="rId2"/>
    <sheet name="CalorieCalc" sheetId="2" r:id="rId3"/>
    <sheet name="Diet" sheetId="4" r:id="rId4"/>
    <sheet name="FoodNot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2" i="2" l="1"/>
  <c r="P23" i="2"/>
  <c r="P24" i="2"/>
  <c r="O22" i="2"/>
  <c r="O23" i="2"/>
  <c r="O24" i="2"/>
  <c r="P25" i="2"/>
  <c r="P26" i="2"/>
  <c r="O25" i="2"/>
  <c r="O26" i="2"/>
  <c r="P27" i="2"/>
  <c r="O27" i="2"/>
  <c r="O13" i="2"/>
  <c r="O14" i="2"/>
  <c r="O15" i="2"/>
  <c r="O16" i="2"/>
  <c r="O6" i="2"/>
  <c r="O7" i="2"/>
  <c r="O8" i="2"/>
  <c r="O9" i="2"/>
  <c r="O10" i="2"/>
  <c r="U12" i="2"/>
  <c r="U14" i="2" s="1"/>
  <c r="T12" i="2"/>
  <c r="T14" i="2" s="1"/>
  <c r="O21" i="2"/>
  <c r="O12" i="2"/>
  <c r="O11" i="2"/>
  <c r="O20" i="2"/>
  <c r="C6" i="4"/>
  <c r="B6" i="4"/>
</calcChain>
</file>

<file path=xl/sharedStrings.xml><?xml version="1.0" encoding="utf-8"?>
<sst xmlns="http://schemas.openxmlformats.org/spreadsheetml/2006/main" count="169" uniqueCount="122">
  <si>
    <t>Monday</t>
  </si>
  <si>
    <t>Tuesday</t>
  </si>
  <si>
    <t>Wednesday</t>
  </si>
  <si>
    <t>Thusday</t>
  </si>
  <si>
    <t>Friday</t>
  </si>
  <si>
    <t>Saturday</t>
  </si>
  <si>
    <t>Sunday</t>
  </si>
  <si>
    <t>Chest</t>
  </si>
  <si>
    <t>Back</t>
  </si>
  <si>
    <t>Legs</t>
  </si>
  <si>
    <t>Bicep</t>
  </si>
  <si>
    <t>Shoulder</t>
  </si>
  <si>
    <t>Abs</t>
  </si>
  <si>
    <t>Yes</t>
  </si>
  <si>
    <t>Food</t>
  </si>
  <si>
    <t>Calorie</t>
  </si>
  <si>
    <t>Protein</t>
  </si>
  <si>
    <t>Roti</t>
  </si>
  <si>
    <t>Poha</t>
  </si>
  <si>
    <t>Egg</t>
  </si>
  <si>
    <t xml:space="preserve">intermittent fasting </t>
  </si>
  <si>
    <t xml:space="preserve">eat more protein 1g per lb of body weight </t>
  </si>
  <si>
    <t>one cheat meal per week</t>
  </si>
  <si>
    <t xml:space="preserve">accountability: share your goals with like-minded people </t>
  </si>
  <si>
    <t>get enough sleep - 8h</t>
  </si>
  <si>
    <t xml:space="preserve">change your environment to a supporting one. Get rid of temptation </t>
  </si>
  <si>
    <t>lift in the morning</t>
  </si>
  <si>
    <t>drink more water</t>
  </si>
  <si>
    <t>don’t give up. It will take time, so give it time and don’t give up.</t>
  </si>
  <si>
    <t>Ten Tips to Loose Fat</t>
  </si>
  <si>
    <t>S.No</t>
  </si>
  <si>
    <t>walk 10,000 steps daily</t>
  </si>
  <si>
    <t>Comment</t>
  </si>
  <si>
    <t>10,000 steps will burn 500 calorie</t>
  </si>
  <si>
    <t>Eat 1 gram of protein per pound of your body weight</t>
  </si>
  <si>
    <t>MyVal</t>
  </si>
  <si>
    <t>150 gram</t>
  </si>
  <si>
    <t>10,000 steps</t>
  </si>
  <si>
    <t>8 hour sleep</t>
  </si>
  <si>
    <t>Meal</t>
  </si>
  <si>
    <t>Lunch</t>
  </si>
  <si>
    <t>Snack</t>
  </si>
  <si>
    <t>Dinner</t>
  </si>
  <si>
    <t>Snack2</t>
  </si>
  <si>
    <t>Total Calorie Target is 2000</t>
  </si>
  <si>
    <t>Total</t>
  </si>
  <si>
    <t>Target</t>
  </si>
  <si>
    <t>Extra</t>
  </si>
  <si>
    <t>Count</t>
  </si>
  <si>
    <t>Total Calorie</t>
  </si>
  <si>
    <t>Unit</t>
  </si>
  <si>
    <t>Type</t>
  </si>
  <si>
    <t>1 piece</t>
  </si>
  <si>
    <t>1 plate</t>
  </si>
  <si>
    <t>Ice Cream</t>
  </si>
  <si>
    <t>1 scoop</t>
  </si>
  <si>
    <t>1 unit</t>
  </si>
  <si>
    <t>Rice</t>
  </si>
  <si>
    <t>Idli</t>
  </si>
  <si>
    <t xml:space="preserve">Sambar </t>
  </si>
  <si>
    <t>Dry Fruit</t>
  </si>
  <si>
    <t>Almond</t>
  </si>
  <si>
    <t>Per Unit Weight</t>
  </si>
  <si>
    <t>1 cup</t>
  </si>
  <si>
    <t>39 g</t>
  </si>
  <si>
    <t>253 g</t>
  </si>
  <si>
    <t>1.3 g</t>
  </si>
  <si>
    <t>Protein(gram)</t>
  </si>
  <si>
    <t>Fat(gram)</t>
  </si>
  <si>
    <t>Carb(gram)</t>
  </si>
  <si>
    <t>Cholesterol(milli gram)</t>
  </si>
  <si>
    <t>Sodium(milli gram)</t>
  </si>
  <si>
    <t>50 g</t>
  </si>
  <si>
    <t>Egg white</t>
  </si>
  <si>
    <t>Cashew</t>
  </si>
  <si>
    <t>1.6 g</t>
  </si>
  <si>
    <t>Peanut</t>
  </si>
  <si>
    <t>1 g</t>
  </si>
  <si>
    <t>40 g</t>
  </si>
  <si>
    <t>160 g</t>
  </si>
  <si>
    <t>Snack1</t>
  </si>
  <si>
    <t>240 ml</t>
  </si>
  <si>
    <t>1 glass</t>
  </si>
  <si>
    <t>Milk Cow</t>
  </si>
  <si>
    <t>Milk Buffallo</t>
  </si>
  <si>
    <t>Pani Puri</t>
  </si>
  <si>
    <t>6 unit</t>
  </si>
  <si>
    <t>Suji</t>
  </si>
  <si>
    <t>1/3 cup</t>
  </si>
  <si>
    <t>55 g</t>
  </si>
  <si>
    <t>Snack3</t>
  </si>
  <si>
    <t>Vegetables</t>
  </si>
  <si>
    <t>Potato</t>
  </si>
  <si>
    <t>170 g</t>
  </si>
  <si>
    <t>Packed</t>
  </si>
  <si>
    <t>Bread</t>
  </si>
  <si>
    <t>29 g</t>
  </si>
  <si>
    <t>Curd</t>
  </si>
  <si>
    <t>226 g</t>
  </si>
  <si>
    <t>Roti Multigrain</t>
  </si>
  <si>
    <t>Note</t>
  </si>
  <si>
    <t>Jowar Flour</t>
  </si>
  <si>
    <t>complex carb</t>
  </si>
  <si>
    <t>Bajra Flour</t>
  </si>
  <si>
    <t>high in protein</t>
  </si>
  <si>
    <t>Ragi Flour</t>
  </si>
  <si>
    <t>45 g</t>
  </si>
  <si>
    <t>Chicken Gravy</t>
  </si>
  <si>
    <t>Chicken medium piece</t>
  </si>
  <si>
    <t>28 g</t>
  </si>
  <si>
    <t>Coconut</t>
  </si>
  <si>
    <t>85 gram</t>
  </si>
  <si>
    <t>Coconut Chutney</t>
  </si>
  <si>
    <t>1 tbps</t>
  </si>
  <si>
    <t>18.5 g</t>
  </si>
  <si>
    <t>Total Protein</t>
  </si>
  <si>
    <t>Remain</t>
  </si>
  <si>
    <t>Burger veg allu tikki</t>
  </si>
  <si>
    <t>150 g</t>
  </si>
  <si>
    <t>Kheer</t>
  </si>
  <si>
    <t>Sweet</t>
  </si>
  <si>
    <t>225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</si>
</sst>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1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05C6B-C7B5-48EE-A2DC-1D1302F83237}">
  <dimension ref="A1:D11"/>
  <sheetViews>
    <sheetView workbookViewId="0">
      <selection activeCell="D9" sqref="D9"/>
    </sheetView>
  </sheetViews>
  <sheetFormatPr defaultRowHeight="14.5" x14ac:dyDescent="0.35"/>
  <cols>
    <col min="2" max="2" width="59" bestFit="1" customWidth="1"/>
    <col min="3" max="3" width="45.36328125" bestFit="1" customWidth="1"/>
    <col min="4" max="4" width="15.54296875" bestFit="1" customWidth="1"/>
  </cols>
  <sheetData>
    <row r="1" spans="1:4" x14ac:dyDescent="0.35">
      <c r="A1" s="1" t="s">
        <v>30</v>
      </c>
      <c r="B1" s="1" t="s">
        <v>29</v>
      </c>
      <c r="C1" s="1" t="s">
        <v>32</v>
      </c>
      <c r="D1" s="1" t="s">
        <v>35</v>
      </c>
    </row>
    <row r="2" spans="1:4" x14ac:dyDescent="0.35">
      <c r="A2">
        <v>1</v>
      </c>
      <c r="B2" t="s">
        <v>31</v>
      </c>
      <c r="C2" t="s">
        <v>33</v>
      </c>
      <c r="D2" t="s">
        <v>37</v>
      </c>
    </row>
    <row r="3" spans="1:4" x14ac:dyDescent="0.35">
      <c r="A3">
        <v>2</v>
      </c>
      <c r="B3" t="s">
        <v>20</v>
      </c>
    </row>
    <row r="4" spans="1:4" x14ac:dyDescent="0.35">
      <c r="A4">
        <v>3</v>
      </c>
      <c r="B4" t="s">
        <v>21</v>
      </c>
      <c r="C4" t="s">
        <v>34</v>
      </c>
      <c r="D4" t="s">
        <v>36</v>
      </c>
    </row>
    <row r="5" spans="1:4" x14ac:dyDescent="0.35">
      <c r="A5">
        <v>4</v>
      </c>
      <c r="B5" t="s">
        <v>22</v>
      </c>
    </row>
    <row r="6" spans="1:4" x14ac:dyDescent="0.35">
      <c r="A6">
        <v>5</v>
      </c>
      <c r="B6" t="s">
        <v>23</v>
      </c>
    </row>
    <row r="7" spans="1:4" x14ac:dyDescent="0.35">
      <c r="A7">
        <v>6</v>
      </c>
      <c r="B7" t="s">
        <v>24</v>
      </c>
      <c r="D7" t="s">
        <v>38</v>
      </c>
    </row>
    <row r="8" spans="1:4" x14ac:dyDescent="0.35">
      <c r="A8">
        <v>7</v>
      </c>
      <c r="B8" t="s">
        <v>25</v>
      </c>
    </row>
    <row r="9" spans="1:4" x14ac:dyDescent="0.35">
      <c r="A9">
        <v>8</v>
      </c>
      <c r="B9" t="s">
        <v>26</v>
      </c>
    </row>
    <row r="10" spans="1:4" x14ac:dyDescent="0.35">
      <c r="A10">
        <v>9</v>
      </c>
      <c r="B10" t="s">
        <v>27</v>
      </c>
    </row>
    <row r="11" spans="1:4" x14ac:dyDescent="0.35">
      <c r="A11">
        <v>10</v>
      </c>
      <c r="B1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workbookViewId="0">
      <selection activeCell="C12" sqref="C12"/>
    </sheetView>
  </sheetViews>
  <sheetFormatPr defaultRowHeight="14.5" x14ac:dyDescent="0.35"/>
  <cols>
    <col min="1" max="1" width="8.26953125" style="1" bestFit="1" customWidth="1"/>
    <col min="2" max="3" width="7.7265625" bestFit="1" customWidth="1"/>
    <col min="4" max="4" width="10.6328125" bestFit="1" customWidth="1"/>
    <col min="5" max="5" width="7.81640625" bestFit="1" customWidth="1"/>
    <col min="6" max="6" width="5.90625" bestFit="1" customWidth="1"/>
    <col min="7" max="7" width="8.1796875" bestFit="1" customWidth="1"/>
    <col min="8" max="8" width="6.90625" bestFit="1" customWidth="1"/>
  </cols>
  <sheetData>
    <row r="1" spans="1:8" s="1" customFormat="1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5">
      <c r="A2" s="1" t="s">
        <v>7</v>
      </c>
      <c r="B2" t="s">
        <v>13</v>
      </c>
      <c r="F2" t="s">
        <v>13</v>
      </c>
    </row>
    <row r="3" spans="1:8" x14ac:dyDescent="0.35">
      <c r="A3" s="1" t="s">
        <v>8</v>
      </c>
      <c r="C3" t="s">
        <v>13</v>
      </c>
      <c r="G3" t="s">
        <v>13</v>
      </c>
    </row>
    <row r="4" spans="1:8" x14ac:dyDescent="0.35">
      <c r="A4" s="1" t="s">
        <v>9</v>
      </c>
      <c r="D4" t="s">
        <v>13</v>
      </c>
    </row>
    <row r="5" spans="1:8" x14ac:dyDescent="0.35">
      <c r="A5" s="1" t="s">
        <v>10</v>
      </c>
      <c r="C5" t="s">
        <v>13</v>
      </c>
      <c r="D5" t="s">
        <v>13</v>
      </c>
      <c r="E5" t="s">
        <v>13</v>
      </c>
    </row>
    <row r="6" spans="1:8" x14ac:dyDescent="0.35">
      <c r="A6" s="1" t="s">
        <v>11</v>
      </c>
      <c r="B6" t="s">
        <v>13</v>
      </c>
    </row>
    <row r="7" spans="1:8" x14ac:dyDescent="0.35">
      <c r="A7" s="1" t="s">
        <v>12</v>
      </c>
      <c r="E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8763E-B227-42DC-A503-2C7CE19F6FF0}">
  <dimension ref="A1:W33"/>
  <sheetViews>
    <sheetView tabSelected="1" workbookViewId="0">
      <selection activeCell="B11" sqref="B11"/>
    </sheetView>
  </sheetViews>
  <sheetFormatPr defaultRowHeight="14.5" x14ac:dyDescent="0.35"/>
  <cols>
    <col min="1" max="1" width="9.1796875" bestFit="1" customWidth="1"/>
    <col min="2" max="2" width="19.6328125" bestFit="1" customWidth="1"/>
    <col min="3" max="3" width="7.1796875" bestFit="1" customWidth="1"/>
    <col min="4" max="4" width="14.1796875" bestFit="1" customWidth="1"/>
    <col min="5" max="5" width="6.6328125" bestFit="1" customWidth="1"/>
    <col min="6" max="6" width="12.54296875" bestFit="1" customWidth="1"/>
    <col min="7" max="7" width="9" bestFit="1" customWidth="1"/>
    <col min="8" max="8" width="10.26953125" bestFit="1" customWidth="1"/>
    <col min="9" max="9" width="20" bestFit="1" customWidth="1"/>
    <col min="10" max="10" width="16.6328125" bestFit="1" customWidth="1"/>
    <col min="11" max="11" width="3.81640625" bestFit="1" customWidth="1"/>
    <col min="12" max="12" width="4.81640625" bestFit="1" customWidth="1"/>
    <col min="13" max="13" width="8.7265625" style="1"/>
    <col min="14" max="14" width="5.90625" bestFit="1" customWidth="1"/>
    <col min="15" max="15" width="11.36328125" bestFit="1" customWidth="1"/>
    <col min="16" max="16" width="11.36328125" customWidth="1"/>
    <col min="17" max="17" width="5.7265625" bestFit="1" customWidth="1"/>
    <col min="18" max="18" width="8.7265625" style="1"/>
    <col min="19" max="19" width="6.54296875" bestFit="1" customWidth="1"/>
    <col min="20" max="20" width="6.6328125" bestFit="1" customWidth="1"/>
    <col min="21" max="21" width="7" bestFit="1" customWidth="1"/>
  </cols>
  <sheetData>
    <row r="1" spans="1:23" s="2" customFormat="1" x14ac:dyDescent="0.35">
      <c r="A1" s="2" t="s">
        <v>51</v>
      </c>
      <c r="B1" s="2" t="s">
        <v>14</v>
      </c>
      <c r="C1" s="5" t="s">
        <v>50</v>
      </c>
      <c r="D1" s="5" t="s">
        <v>62</v>
      </c>
      <c r="E1" s="6" t="s">
        <v>15</v>
      </c>
      <c r="F1" s="6" t="s">
        <v>67</v>
      </c>
      <c r="G1" s="6" t="s">
        <v>68</v>
      </c>
      <c r="H1" s="6" t="s">
        <v>69</v>
      </c>
      <c r="I1" s="6" t="s">
        <v>70</v>
      </c>
      <c r="J1" s="6" t="s">
        <v>71</v>
      </c>
      <c r="N1" s="2" t="s">
        <v>48</v>
      </c>
      <c r="O1" s="2" t="s">
        <v>49</v>
      </c>
      <c r="P1" s="2" t="s">
        <v>115</v>
      </c>
      <c r="Q1" s="2" t="s">
        <v>39</v>
      </c>
      <c r="S1" s="2" t="s">
        <v>39</v>
      </c>
      <c r="T1" s="2" t="s">
        <v>15</v>
      </c>
      <c r="U1" s="2" t="s">
        <v>16</v>
      </c>
    </row>
    <row r="2" spans="1:23" x14ac:dyDescent="0.35">
      <c r="A2" t="s">
        <v>91</v>
      </c>
      <c r="S2" t="s">
        <v>40</v>
      </c>
      <c r="T2">
        <v>920</v>
      </c>
      <c r="U2">
        <v>40</v>
      </c>
    </row>
    <row r="3" spans="1:23" x14ac:dyDescent="0.35">
      <c r="B3" t="s">
        <v>92</v>
      </c>
      <c r="C3" t="s">
        <v>56</v>
      </c>
      <c r="D3" t="s">
        <v>93</v>
      </c>
      <c r="E3">
        <v>160</v>
      </c>
      <c r="F3">
        <v>4.3</v>
      </c>
      <c r="G3">
        <v>0.2</v>
      </c>
      <c r="H3">
        <v>37</v>
      </c>
      <c r="I3">
        <v>0</v>
      </c>
      <c r="J3">
        <v>17</v>
      </c>
      <c r="S3" t="s">
        <v>80</v>
      </c>
      <c r="T3">
        <v>210</v>
      </c>
      <c r="U3">
        <v>5.5</v>
      </c>
    </row>
    <row r="4" spans="1:23" x14ac:dyDescent="0.35">
      <c r="A4" t="s">
        <v>14</v>
      </c>
      <c r="S4" t="s">
        <v>43</v>
      </c>
      <c r="T4">
        <v>237</v>
      </c>
      <c r="U4">
        <v>10.8</v>
      </c>
    </row>
    <row r="5" spans="1:23" x14ac:dyDescent="0.35">
      <c r="B5" t="s">
        <v>17</v>
      </c>
      <c r="C5" t="s">
        <v>56</v>
      </c>
      <c r="D5" t="s">
        <v>78</v>
      </c>
      <c r="E5">
        <v>120</v>
      </c>
      <c r="F5">
        <v>3</v>
      </c>
      <c r="G5">
        <v>3.5</v>
      </c>
      <c r="H5">
        <v>18</v>
      </c>
      <c r="I5">
        <v>0</v>
      </c>
      <c r="J5">
        <v>119</v>
      </c>
      <c r="S5" t="s">
        <v>42</v>
      </c>
    </row>
    <row r="6" spans="1:23" x14ac:dyDescent="0.35">
      <c r="B6" t="s">
        <v>99</v>
      </c>
      <c r="C6" t="s">
        <v>56</v>
      </c>
      <c r="D6" t="s">
        <v>106</v>
      </c>
      <c r="E6">
        <v>135</v>
      </c>
      <c r="F6">
        <v>4.5</v>
      </c>
      <c r="G6">
        <v>3</v>
      </c>
      <c r="H6">
        <v>24</v>
      </c>
      <c r="I6">
        <v>0</v>
      </c>
      <c r="J6">
        <v>52</v>
      </c>
      <c r="N6">
        <v>3.5</v>
      </c>
      <c r="O6">
        <f t="shared" ref="O6:O10" si="0">E6*N6</f>
        <v>472.5</v>
      </c>
      <c r="Q6" t="s">
        <v>40</v>
      </c>
    </row>
    <row r="7" spans="1:23" x14ac:dyDescent="0.35">
      <c r="B7" t="s">
        <v>107</v>
      </c>
      <c r="C7" t="s">
        <v>53</v>
      </c>
      <c r="E7">
        <v>300</v>
      </c>
      <c r="F7">
        <v>25</v>
      </c>
      <c r="G7">
        <v>20</v>
      </c>
      <c r="N7">
        <v>1.5</v>
      </c>
      <c r="O7">
        <f t="shared" si="0"/>
        <v>450</v>
      </c>
      <c r="Q7" t="s">
        <v>40</v>
      </c>
      <c r="S7" t="s">
        <v>90</v>
      </c>
    </row>
    <row r="8" spans="1:23" x14ac:dyDescent="0.35">
      <c r="B8" t="s">
        <v>108</v>
      </c>
      <c r="C8" t="s">
        <v>56</v>
      </c>
      <c r="D8" t="s">
        <v>109</v>
      </c>
      <c r="E8">
        <v>62</v>
      </c>
      <c r="F8">
        <v>6.7</v>
      </c>
      <c r="G8">
        <v>3.7</v>
      </c>
      <c r="H8">
        <v>0</v>
      </c>
      <c r="I8">
        <v>26.7</v>
      </c>
      <c r="J8">
        <v>20</v>
      </c>
      <c r="O8">
        <f t="shared" si="0"/>
        <v>0</v>
      </c>
    </row>
    <row r="9" spans="1:23" x14ac:dyDescent="0.35">
      <c r="B9" t="s">
        <v>18</v>
      </c>
      <c r="E9">
        <v>270</v>
      </c>
      <c r="F9">
        <v>6</v>
      </c>
      <c r="G9">
        <v>3</v>
      </c>
      <c r="H9">
        <v>52</v>
      </c>
      <c r="O9">
        <f t="shared" si="0"/>
        <v>0</v>
      </c>
    </row>
    <row r="10" spans="1:23" x14ac:dyDescent="0.35">
      <c r="B10" t="s">
        <v>57</v>
      </c>
      <c r="C10" t="s">
        <v>63</v>
      </c>
      <c r="D10" t="s">
        <v>79</v>
      </c>
      <c r="E10">
        <v>205</v>
      </c>
      <c r="F10">
        <v>4.3</v>
      </c>
      <c r="G10">
        <v>0.5</v>
      </c>
      <c r="H10">
        <v>45</v>
      </c>
      <c r="I10">
        <v>0</v>
      </c>
      <c r="J10">
        <v>1.6</v>
      </c>
      <c r="O10">
        <f t="shared" si="0"/>
        <v>0</v>
      </c>
    </row>
    <row r="11" spans="1:23" x14ac:dyDescent="0.35">
      <c r="B11" t="s">
        <v>58</v>
      </c>
      <c r="C11" t="s">
        <v>52</v>
      </c>
      <c r="D11" t="s">
        <v>64</v>
      </c>
      <c r="E11">
        <v>60</v>
      </c>
      <c r="F11">
        <v>1.7</v>
      </c>
      <c r="G11">
        <v>0.4</v>
      </c>
      <c r="H11">
        <v>12</v>
      </c>
      <c r="I11">
        <v>0</v>
      </c>
      <c r="J11">
        <v>75</v>
      </c>
      <c r="N11">
        <v>2</v>
      </c>
      <c r="O11">
        <f>E11*N11</f>
        <v>120</v>
      </c>
      <c r="Q11" t="s">
        <v>40</v>
      </c>
    </row>
    <row r="12" spans="1:23" x14ac:dyDescent="0.35">
      <c r="B12" t="s">
        <v>59</v>
      </c>
      <c r="C12" t="s">
        <v>63</v>
      </c>
      <c r="D12" t="s">
        <v>65</v>
      </c>
      <c r="E12">
        <v>130</v>
      </c>
      <c r="F12">
        <v>7.1</v>
      </c>
      <c r="G12">
        <v>0.7</v>
      </c>
      <c r="H12">
        <v>26</v>
      </c>
      <c r="I12">
        <v>0</v>
      </c>
      <c r="J12">
        <v>202</v>
      </c>
      <c r="N12">
        <v>0</v>
      </c>
      <c r="O12">
        <f>E12*N12</f>
        <v>0</v>
      </c>
      <c r="Q12" t="s">
        <v>40</v>
      </c>
      <c r="S12" s="2" t="s">
        <v>45</v>
      </c>
      <c r="T12" s="2">
        <f>SUM(T2:T11)</f>
        <v>1367</v>
      </c>
      <c r="U12" s="2">
        <f>SUM(U2:U11)</f>
        <v>56.3</v>
      </c>
      <c r="V12" s="1"/>
      <c r="W12" s="1"/>
    </row>
    <row r="13" spans="1:23" x14ac:dyDescent="0.35">
      <c r="B13" t="s">
        <v>85</v>
      </c>
      <c r="C13" t="s">
        <v>56</v>
      </c>
      <c r="E13">
        <v>36</v>
      </c>
      <c r="F13">
        <v>0</v>
      </c>
      <c r="G13">
        <v>2</v>
      </c>
      <c r="H13">
        <v>4</v>
      </c>
      <c r="O13">
        <f t="shared" ref="O13:O16" si="1">E13*N13</f>
        <v>0</v>
      </c>
      <c r="S13" s="2" t="s">
        <v>46</v>
      </c>
      <c r="T13" s="2">
        <v>2000</v>
      </c>
      <c r="U13" s="2">
        <v>150</v>
      </c>
      <c r="V13" s="2"/>
      <c r="W13" s="2"/>
    </row>
    <row r="14" spans="1:23" x14ac:dyDescent="0.35">
      <c r="B14" t="s">
        <v>85</v>
      </c>
      <c r="C14" t="s">
        <v>86</v>
      </c>
      <c r="E14">
        <v>216</v>
      </c>
      <c r="F14">
        <v>3</v>
      </c>
      <c r="G14">
        <v>12</v>
      </c>
      <c r="H14">
        <v>24</v>
      </c>
      <c r="O14">
        <f t="shared" si="1"/>
        <v>0</v>
      </c>
      <c r="S14" s="2" t="s">
        <v>116</v>
      </c>
      <c r="T14" s="2">
        <f>T13-T12</f>
        <v>633</v>
      </c>
      <c r="U14" s="2">
        <f>U13-U12</f>
        <v>93.7</v>
      </c>
      <c r="V14" s="2"/>
      <c r="W14" s="2"/>
    </row>
    <row r="15" spans="1:23" x14ac:dyDescent="0.35">
      <c r="B15" t="s">
        <v>87</v>
      </c>
      <c r="C15" t="s">
        <v>88</v>
      </c>
      <c r="D15" t="s">
        <v>89</v>
      </c>
      <c r="E15">
        <v>200</v>
      </c>
      <c r="F15">
        <v>7</v>
      </c>
      <c r="G15">
        <v>1</v>
      </c>
      <c r="H15">
        <v>40</v>
      </c>
      <c r="O15">
        <f t="shared" si="1"/>
        <v>0</v>
      </c>
    </row>
    <row r="16" spans="1:23" x14ac:dyDescent="0.35">
      <c r="B16" t="s">
        <v>112</v>
      </c>
      <c r="C16" t="s">
        <v>113</v>
      </c>
      <c r="D16" t="s">
        <v>114</v>
      </c>
      <c r="E16">
        <v>30</v>
      </c>
      <c r="F16">
        <v>0.7</v>
      </c>
      <c r="G16">
        <v>2.2000000000000002</v>
      </c>
      <c r="H16">
        <v>2.5</v>
      </c>
      <c r="I16">
        <v>0</v>
      </c>
      <c r="J16">
        <v>74</v>
      </c>
      <c r="N16">
        <v>3</v>
      </c>
      <c r="O16">
        <f t="shared" si="1"/>
        <v>90</v>
      </c>
    </row>
    <row r="17" spans="1:17" x14ac:dyDescent="0.35">
      <c r="B17" t="s">
        <v>117</v>
      </c>
      <c r="C17" t="s">
        <v>56</v>
      </c>
      <c r="D17" t="s">
        <v>118</v>
      </c>
      <c r="E17">
        <v>350</v>
      </c>
      <c r="F17">
        <v>8</v>
      </c>
      <c r="G17">
        <v>14</v>
      </c>
      <c r="H17">
        <v>50</v>
      </c>
      <c r="I17">
        <v>1</v>
      </c>
      <c r="J17">
        <v>750</v>
      </c>
    </row>
    <row r="18" spans="1:17" x14ac:dyDescent="0.35">
      <c r="A18" t="s">
        <v>41</v>
      </c>
    </row>
    <row r="19" spans="1:17" x14ac:dyDescent="0.35">
      <c r="B19" t="s">
        <v>19</v>
      </c>
      <c r="C19" t="s">
        <v>56</v>
      </c>
      <c r="D19" t="s">
        <v>72</v>
      </c>
      <c r="E19">
        <v>72</v>
      </c>
      <c r="F19">
        <v>6</v>
      </c>
      <c r="G19">
        <v>5</v>
      </c>
      <c r="H19">
        <v>0.4</v>
      </c>
      <c r="I19">
        <v>186</v>
      </c>
      <c r="J19">
        <v>71</v>
      </c>
    </row>
    <row r="20" spans="1:17" x14ac:dyDescent="0.35">
      <c r="B20" t="s">
        <v>73</v>
      </c>
      <c r="C20" t="s">
        <v>56</v>
      </c>
      <c r="E20">
        <v>20</v>
      </c>
      <c r="F20">
        <v>4</v>
      </c>
      <c r="G20">
        <v>0</v>
      </c>
      <c r="I20">
        <v>0</v>
      </c>
      <c r="N20">
        <v>0</v>
      </c>
      <c r="O20">
        <f>E20*N20</f>
        <v>0</v>
      </c>
      <c r="Q20" t="s">
        <v>80</v>
      </c>
    </row>
    <row r="21" spans="1:17" x14ac:dyDescent="0.35">
      <c r="B21" t="s">
        <v>84</v>
      </c>
      <c r="C21" t="s">
        <v>82</v>
      </c>
      <c r="D21" t="s">
        <v>81</v>
      </c>
      <c r="E21">
        <v>235</v>
      </c>
      <c r="F21">
        <v>9</v>
      </c>
      <c r="G21">
        <v>17</v>
      </c>
      <c r="H21">
        <v>12</v>
      </c>
      <c r="O21">
        <f t="shared" ref="O21:O27" si="2">E21*N21</f>
        <v>0</v>
      </c>
    </row>
    <row r="22" spans="1:17" x14ac:dyDescent="0.35">
      <c r="B22" t="s">
        <v>83</v>
      </c>
      <c r="C22" t="s">
        <v>82</v>
      </c>
      <c r="D22" t="s">
        <v>81</v>
      </c>
      <c r="E22">
        <v>150</v>
      </c>
      <c r="F22">
        <v>8</v>
      </c>
      <c r="G22">
        <v>8</v>
      </c>
      <c r="H22">
        <v>12</v>
      </c>
      <c r="N22">
        <v>1</v>
      </c>
      <c r="O22">
        <f t="shared" si="2"/>
        <v>150</v>
      </c>
      <c r="P22">
        <f t="shared" ref="P22:P26" si="3">N22*F22</f>
        <v>8</v>
      </c>
    </row>
    <row r="23" spans="1:17" x14ac:dyDescent="0.35">
      <c r="B23" t="s">
        <v>97</v>
      </c>
      <c r="C23" t="s">
        <v>63</v>
      </c>
      <c r="D23" t="s">
        <v>98</v>
      </c>
      <c r="E23">
        <v>138</v>
      </c>
      <c r="F23">
        <v>7.8</v>
      </c>
      <c r="G23">
        <v>7.4</v>
      </c>
      <c r="H23">
        <v>10.5</v>
      </c>
      <c r="I23">
        <v>30</v>
      </c>
      <c r="J23">
        <v>104</v>
      </c>
      <c r="O23">
        <f t="shared" si="2"/>
        <v>0</v>
      </c>
      <c r="P23">
        <f t="shared" si="3"/>
        <v>0</v>
      </c>
    </row>
    <row r="24" spans="1:17" x14ac:dyDescent="0.35">
      <c r="A24" t="s">
        <v>60</v>
      </c>
      <c r="N24">
        <v>0</v>
      </c>
      <c r="O24">
        <f t="shared" si="2"/>
        <v>0</v>
      </c>
      <c r="P24">
        <f t="shared" si="3"/>
        <v>0</v>
      </c>
    </row>
    <row r="25" spans="1:17" x14ac:dyDescent="0.35">
      <c r="B25" t="s">
        <v>61</v>
      </c>
      <c r="C25" t="s">
        <v>52</v>
      </c>
      <c r="D25" t="s">
        <v>66</v>
      </c>
      <c r="E25">
        <v>7.7</v>
      </c>
      <c r="F25">
        <v>0.3</v>
      </c>
      <c r="G25">
        <v>0.7</v>
      </c>
      <c r="H25">
        <v>0.3</v>
      </c>
      <c r="I25">
        <v>0</v>
      </c>
      <c r="J25">
        <v>6.4</v>
      </c>
      <c r="N25">
        <v>4</v>
      </c>
      <c r="O25">
        <f t="shared" si="2"/>
        <v>30.8</v>
      </c>
      <c r="P25">
        <f t="shared" si="3"/>
        <v>1.2</v>
      </c>
      <c r="Q25" t="s">
        <v>80</v>
      </c>
    </row>
    <row r="26" spans="1:17" x14ac:dyDescent="0.35">
      <c r="B26" t="s">
        <v>74</v>
      </c>
      <c r="C26" t="s">
        <v>56</v>
      </c>
      <c r="D26" t="s">
        <v>75</v>
      </c>
      <c r="E26">
        <v>9</v>
      </c>
      <c r="F26">
        <v>0.2</v>
      </c>
      <c r="G26">
        <v>0.7</v>
      </c>
      <c r="H26">
        <v>0.5</v>
      </c>
      <c r="I26">
        <v>0</v>
      </c>
      <c r="J26">
        <v>10</v>
      </c>
      <c r="N26">
        <v>3</v>
      </c>
      <c r="O26">
        <f t="shared" si="2"/>
        <v>27</v>
      </c>
      <c r="P26">
        <f t="shared" si="3"/>
        <v>0.60000000000000009</v>
      </c>
    </row>
    <row r="27" spans="1:17" x14ac:dyDescent="0.35">
      <c r="B27" t="s">
        <v>76</v>
      </c>
      <c r="C27" t="s">
        <v>56</v>
      </c>
      <c r="D27" t="s">
        <v>77</v>
      </c>
      <c r="E27">
        <v>5.9</v>
      </c>
      <c r="F27">
        <v>0.2</v>
      </c>
      <c r="G27">
        <v>0.5</v>
      </c>
      <c r="H27">
        <v>0.2</v>
      </c>
      <c r="I27">
        <v>0</v>
      </c>
      <c r="J27">
        <v>4.0999999999999996</v>
      </c>
      <c r="N27">
        <v>5</v>
      </c>
      <c r="O27">
        <f t="shared" si="2"/>
        <v>29.5</v>
      </c>
      <c r="P27">
        <f>N27*F27</f>
        <v>1</v>
      </c>
    </row>
    <row r="28" spans="1:17" x14ac:dyDescent="0.35">
      <c r="B28" t="s">
        <v>110</v>
      </c>
      <c r="C28" t="s">
        <v>63</v>
      </c>
      <c r="D28" t="s">
        <v>111</v>
      </c>
      <c r="E28">
        <v>388</v>
      </c>
      <c r="F28">
        <v>2.7</v>
      </c>
      <c r="G28">
        <v>24</v>
      </c>
      <c r="H28">
        <v>44</v>
      </c>
      <c r="I28">
        <v>0</v>
      </c>
      <c r="J28">
        <v>242</v>
      </c>
    </row>
    <row r="29" spans="1:17" x14ac:dyDescent="0.35">
      <c r="A29" t="s">
        <v>94</v>
      </c>
    </row>
    <row r="30" spans="1:17" x14ac:dyDescent="0.35">
      <c r="B30" t="s">
        <v>95</v>
      </c>
      <c r="C30" t="s">
        <v>56</v>
      </c>
      <c r="D30" t="s">
        <v>96</v>
      </c>
      <c r="E30">
        <v>77</v>
      </c>
      <c r="F30">
        <v>2.6</v>
      </c>
      <c r="G30">
        <v>1</v>
      </c>
      <c r="H30">
        <v>14</v>
      </c>
      <c r="I30">
        <v>0</v>
      </c>
      <c r="J30">
        <v>142</v>
      </c>
    </row>
    <row r="31" spans="1:17" x14ac:dyDescent="0.35">
      <c r="A31" t="s">
        <v>120</v>
      </c>
    </row>
    <row r="32" spans="1:17" x14ac:dyDescent="0.35">
      <c r="B32" t="s">
        <v>54</v>
      </c>
      <c r="C32" t="s">
        <v>55</v>
      </c>
      <c r="E32">
        <v>150</v>
      </c>
    </row>
    <row r="33" spans="2:8" x14ac:dyDescent="0.35">
      <c r="B33" t="s">
        <v>119</v>
      </c>
      <c r="C33" t="s">
        <v>63</v>
      </c>
      <c r="D33" t="s">
        <v>121</v>
      </c>
      <c r="E33">
        <v>260</v>
      </c>
      <c r="F33">
        <v>8.5</v>
      </c>
      <c r="G33">
        <v>10.5</v>
      </c>
      <c r="H33">
        <v>34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AB46D-33E8-4E10-87D7-858A27559117}">
  <dimension ref="A1:G8"/>
  <sheetViews>
    <sheetView workbookViewId="0">
      <selection activeCell="F3" sqref="F3"/>
    </sheetView>
  </sheetViews>
  <sheetFormatPr defaultRowHeight="14.5" x14ac:dyDescent="0.35"/>
  <cols>
    <col min="5" max="5" width="23.453125" bestFit="1" customWidth="1"/>
    <col min="6" max="6" width="8.7265625" style="1"/>
    <col min="7" max="7" width="10.08984375" bestFit="1" customWidth="1"/>
  </cols>
  <sheetData>
    <row r="1" spans="1:7" s="2" customFormat="1" x14ac:dyDescent="0.35">
      <c r="A1" s="2" t="s">
        <v>39</v>
      </c>
      <c r="B1" s="2" t="s">
        <v>15</v>
      </c>
      <c r="C1" s="2" t="s">
        <v>16</v>
      </c>
      <c r="E1" s="2" t="s">
        <v>44</v>
      </c>
      <c r="G1" s="7">
        <v>45323</v>
      </c>
    </row>
    <row r="2" spans="1:7" x14ac:dyDescent="0.35">
      <c r="A2" t="s">
        <v>40</v>
      </c>
      <c r="B2">
        <v>750</v>
      </c>
      <c r="C2">
        <v>50</v>
      </c>
    </row>
    <row r="3" spans="1:7" x14ac:dyDescent="0.35">
      <c r="A3" t="s">
        <v>41</v>
      </c>
      <c r="B3">
        <v>250</v>
      </c>
      <c r="C3">
        <v>25</v>
      </c>
    </row>
    <row r="4" spans="1:7" x14ac:dyDescent="0.35">
      <c r="A4" t="s">
        <v>43</v>
      </c>
      <c r="B4">
        <v>250</v>
      </c>
      <c r="C4">
        <v>25</v>
      </c>
    </row>
    <row r="5" spans="1:7" x14ac:dyDescent="0.35">
      <c r="A5" t="s">
        <v>42</v>
      </c>
      <c r="B5">
        <v>750</v>
      </c>
      <c r="C5">
        <v>50</v>
      </c>
    </row>
    <row r="6" spans="1:7" s="2" customFormat="1" x14ac:dyDescent="0.35">
      <c r="A6" s="2" t="s">
        <v>45</v>
      </c>
      <c r="B6" s="2">
        <f>SUM(B2:B5)</f>
        <v>2000</v>
      </c>
      <c r="C6" s="2">
        <f>SUM(C2:C5)</f>
        <v>150</v>
      </c>
    </row>
    <row r="7" spans="1:7" s="3" customFormat="1" x14ac:dyDescent="0.35">
      <c r="A7" s="3" t="s">
        <v>46</v>
      </c>
      <c r="B7" s="3">
        <v>2000</v>
      </c>
      <c r="C7" s="3">
        <v>150</v>
      </c>
      <c r="F7" s="2"/>
    </row>
    <row r="8" spans="1:7" s="4" customFormat="1" x14ac:dyDescent="0.35">
      <c r="A8" s="4" t="s">
        <v>47</v>
      </c>
      <c r="F8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D5A03-8774-474C-B62C-5BD6B0130E95}">
  <dimension ref="A1:B4"/>
  <sheetViews>
    <sheetView workbookViewId="0">
      <selection activeCell="B5" sqref="B5"/>
    </sheetView>
  </sheetViews>
  <sheetFormatPr defaultRowHeight="14.5" x14ac:dyDescent="0.35"/>
  <cols>
    <col min="1" max="1" width="10.453125" bestFit="1" customWidth="1"/>
    <col min="2" max="2" width="13" bestFit="1" customWidth="1"/>
  </cols>
  <sheetData>
    <row r="1" spans="1:2" s="1" customFormat="1" x14ac:dyDescent="0.35">
      <c r="A1" s="1" t="s">
        <v>14</v>
      </c>
      <c r="B1" s="1" t="s">
        <v>100</v>
      </c>
    </row>
    <row r="2" spans="1:2" x14ac:dyDescent="0.35">
      <c r="A2" t="s">
        <v>101</v>
      </c>
      <c r="B2" t="s">
        <v>102</v>
      </c>
    </row>
    <row r="3" spans="1:2" x14ac:dyDescent="0.35">
      <c r="A3" t="s">
        <v>103</v>
      </c>
      <c r="B3" t="s">
        <v>104</v>
      </c>
    </row>
    <row r="4" spans="1:2" x14ac:dyDescent="0.35">
      <c r="A4" t="s">
        <v>105</v>
      </c>
      <c r="B4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Notes</vt:lpstr>
      <vt:lpstr>Schedule</vt:lpstr>
      <vt:lpstr>CalorieCalc</vt:lpstr>
      <vt:lpstr>Diet</vt:lpstr>
      <vt:lpstr>FoodNotes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shamim khan</dc:creator>
  <cp:lastModifiedBy>shamim khan</cp:lastModifiedBy>
  <dcterms:created xsi:type="dcterms:W3CDTF">2015-06-05T18:17:20Z</dcterms:created>
  <dcterms:modified xsi:type="dcterms:W3CDTF">2024-02-07T15:50:16Z</dcterms:modified>
</cp:coreProperties>
</file>